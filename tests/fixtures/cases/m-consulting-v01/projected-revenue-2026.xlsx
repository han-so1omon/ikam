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Pro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A6A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Retainers</t>
        </is>
      </c>
      <c r="C1" s="1" t="inlineStr">
        <is>
          <t>Projects</t>
        </is>
      </c>
      <c r="D1" s="1" t="inlineStr">
        <is>
          <t>Workshops</t>
        </is>
      </c>
      <c r="E1" s="1" t="inlineStr">
        <is>
          <t>Total</t>
        </is>
      </c>
      <c r="F1" s="1" t="inlineStr">
        <is>
          <t>Assumed GM%</t>
        </is>
      </c>
      <c r="G1" s="1" t="inlineStr">
        <is>
          <t>COGS (est)</t>
        </is>
      </c>
      <c r="H1" s="1" t="inlineStr">
        <is>
          <t>Gross Profit (est)</t>
        </is>
      </c>
      <c r="I1" s="1" t="inlineStr">
        <is>
          <t>Notes</t>
        </is>
      </c>
    </row>
    <row r="2">
      <c r="A2" t="inlineStr">
        <is>
          <t>2026-01</t>
        </is>
      </c>
      <c r="B2" s="2" t="n">
        <v>120000</v>
      </c>
      <c r="C2" s="2" t="n">
        <v>210000</v>
      </c>
      <c r="D2" s="2" t="n">
        <v>15000</v>
      </c>
      <c r="E2" s="2">
        <f>B2+C2+D2</f>
        <v/>
      </c>
      <c r="F2" s="3" t="n">
        <v>0.46</v>
      </c>
      <c r="G2" s="2">
        <f>E2*(1-F2)</f>
        <v/>
      </c>
      <c r="H2" s="2">
        <f>E2-G2</f>
        <v/>
      </c>
      <c r="I2" t="inlineStr">
        <is>
          <t>GTM refresh draft</t>
        </is>
      </c>
    </row>
    <row r="3">
      <c r="A3" t="inlineStr">
        <is>
          <t>2026-02</t>
        </is>
      </c>
      <c r="B3" s="2" t="n">
        <v>125000</v>
      </c>
      <c r="C3" s="2" t="n">
        <v>190000</v>
      </c>
      <c r="D3" s="2" t="n">
        <v>20000</v>
      </c>
      <c r="E3" s="2">
        <f>B3+C3+D3</f>
        <v/>
      </c>
      <c r="F3" s="3" t="n">
        <v>0.46</v>
      </c>
      <c r="G3" s="2">
        <f>E3*(1-F3)</f>
        <v/>
      </c>
      <c r="H3" s="2">
        <f>E3-G3</f>
        <v/>
      </c>
      <c r="I3" t="inlineStr">
        <is>
          <t>Pipeline discipline push</t>
        </is>
      </c>
    </row>
    <row r="4">
      <c r="A4" t="inlineStr">
        <is>
          <t>2026-03</t>
        </is>
      </c>
      <c r="B4" s="2" t="n">
        <v>130000</v>
      </c>
      <c r="C4" s="2" t="n">
        <v>240000</v>
      </c>
      <c r="D4" s="2" t="n">
        <v>22000</v>
      </c>
      <c r="E4" s="2">
        <f>B4+C4+D4</f>
        <v/>
      </c>
      <c r="F4" s="3" t="n">
        <v>0.46</v>
      </c>
      <c r="G4" s="2">
        <f>E4*(1-F4)</f>
        <v/>
      </c>
      <c r="H4" s="2">
        <f>E4-G4</f>
        <v/>
      </c>
      <c r="I4" t="inlineStr">
        <is>
          <t>Hiring contractor analysts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2026-02-05T23:35:17Z</dcterms:created>
  <dcterms:modified xmlns:dcterms="http://purl.org/dc/terms/" xmlns:xsi="http://www.w3.org/2001/XMLSchema-instance" xsi:type="dcterms:W3CDTF">2026-02-05T23:35:17Z</dcterms:modified>
</cp:coreProperties>
</file>