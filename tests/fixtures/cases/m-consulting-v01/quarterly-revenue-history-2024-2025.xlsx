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Booked Revenue</t>
        </is>
      </c>
      <c r="D1" s="1" t="inlineStr">
        <is>
          <t>Recognized Revenue</t>
        </is>
      </c>
      <c r="E1" s="1" t="inlineStr">
        <is>
          <t>Notes</t>
        </is>
      </c>
      <c r="F1" s="1" t="inlineStr">
        <is>
          <t>Variance</t>
        </is>
      </c>
      <c r="G1" s="1" t="inlineStr">
        <is>
          <t>Variance %</t>
        </is>
      </c>
    </row>
    <row r="2">
      <c r="A2" t="n">
        <v>2024</v>
      </c>
      <c r="B2" t="inlineStr">
        <is>
          <t>Q4</t>
        </is>
      </c>
      <c r="C2" s="2" t="n">
        <v>420000</v>
      </c>
      <c r="D2" s="2" t="n">
        <v>390000</v>
      </c>
      <c r="E2" t="inlineStr">
        <is>
          <t>Strong close</t>
        </is>
      </c>
      <c r="F2" s="2">
        <f>D2-C2</f>
        <v/>
      </c>
      <c r="G2" s="3">
        <f>IF(C2=0,0,(D2-C2)/C2)</f>
        <v/>
      </c>
    </row>
    <row r="3">
      <c r="A3" t="n">
        <v>2025</v>
      </c>
      <c r="B3" t="inlineStr">
        <is>
          <t>Q1</t>
        </is>
      </c>
      <c r="C3" s="2" t="n">
        <v>380000</v>
      </c>
      <c r="D3" s="2" t="n">
        <v>410000</v>
      </c>
      <c r="E3" t="inlineStr">
        <is>
          <t>Recognition lag</t>
        </is>
      </c>
      <c r="F3" s="2">
        <f>D3-C3</f>
        <v/>
      </c>
      <c r="G3" s="3">
        <f>IF(C3=0,0,(D3-C3)/C3)</f>
        <v/>
      </c>
    </row>
    <row r="4">
      <c r="A4" t="n">
        <v>2025</v>
      </c>
      <c r="B4" t="inlineStr">
        <is>
          <t>Q2</t>
        </is>
      </c>
      <c r="C4" s="2" t="n">
        <v>460000</v>
      </c>
      <c r="D4" s="2" t="n">
        <v>455000</v>
      </c>
      <c r="E4" t="inlineStr">
        <is>
          <t>Stable</t>
        </is>
      </c>
      <c r="F4" s="2">
        <f>D4-C4</f>
        <v/>
      </c>
      <c r="G4" s="3">
        <f>IF(C4=0,0,(D4-C4)/C4)</f>
        <v/>
      </c>
    </row>
    <row r="5">
      <c r="A5" t="n">
        <v>2025</v>
      </c>
      <c r="B5" t="inlineStr">
        <is>
          <t>Q3</t>
        </is>
      </c>
      <c r="C5" s="2" t="n">
        <v>510000</v>
      </c>
      <c r="D5" s="2" t="n">
        <v>535000</v>
      </c>
      <c r="E5" t="inlineStr">
        <is>
          <t>Includes PINECONE recognition</t>
        </is>
      </c>
      <c r="F5" s="2">
        <f>D5-C5</f>
        <v/>
      </c>
      <c r="G5" s="3">
        <f>IF(C5=0,0,(D5-C5)/C5)</f>
        <v/>
      </c>
    </row>
    <row r="6">
      <c r="A6" t="n">
        <v>2025</v>
      </c>
      <c r="B6" t="inlineStr">
        <is>
          <t>Q4</t>
        </is>
      </c>
      <c r="C6" s="2" t="n">
        <v>600000</v>
      </c>
      <c r="D6" s="2" t="n">
        <v>580000</v>
      </c>
      <c r="E6" t="inlineStr">
        <is>
          <t>Year-end push</t>
        </is>
      </c>
      <c r="F6" s="2">
        <f>D6-C6</f>
        <v/>
      </c>
      <c r="G6" s="3">
        <f>IF(C6=0,0,(D6-C6)/C6)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2026-02-05T23:35:17Z</dcterms:created>
  <dcterms:modified xmlns:dcterms="http://purl.org/dc/terms/" xmlns:xsi="http://www.w3.org/2001/XMLSchema-instance" xsi:type="dcterms:W3CDTF">2026-02-05T23:35:17Z</dcterms:modified>
</cp:coreProperties>
</file>