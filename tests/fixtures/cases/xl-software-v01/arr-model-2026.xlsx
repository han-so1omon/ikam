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B6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MRR</t>
        </is>
      </c>
      <c r="C1" s="1" t="inlineStr">
        <is>
          <t>Annual Prepaid?</t>
        </is>
      </c>
      <c r="D1" s="1" t="inlineStr">
        <is>
          <t>Churned?</t>
        </is>
      </c>
      <c r="E1" s="1" t="inlineStr">
        <is>
          <t>ARR (board)</t>
        </is>
      </c>
      <c r="F1" s="1" t="inlineStr">
        <is>
          <t>ARR (finance)</t>
        </is>
      </c>
    </row>
    <row r="2">
      <c r="A2" t="inlineStr">
        <is>
          <t>Evergreen Ledger</t>
        </is>
      </c>
      <c r="B2" s="2" t="n">
        <v>620000</v>
      </c>
      <c r="C2" t="inlineStr">
        <is>
          <t>Y</t>
        </is>
      </c>
      <c r="D2" t="inlineStr">
        <is>
          <t>N</t>
        </is>
      </c>
      <c r="E2" s="2">
        <f>IF(C2="Y",B2*12,B2*12)</f>
        <v/>
      </c>
      <c r="F2" s="2">
        <f>IF(AND(C2="Y",D2="Y"),0,B2*12)</f>
        <v/>
      </c>
    </row>
    <row r="3">
      <c r="A3" t="inlineStr">
        <is>
          <t>Harborline Health Services</t>
        </is>
      </c>
      <c r="B3" s="2" t="n">
        <v>410000</v>
      </c>
      <c r="C3" t="inlineStr">
        <is>
          <t>N</t>
        </is>
      </c>
      <c r="D3" t="inlineStr">
        <is>
          <t>N</t>
        </is>
      </c>
      <c r="E3" s="2">
        <f>IF(C3="Y",B3*12,B3*12)</f>
        <v/>
      </c>
      <c r="F3" s="2">
        <f>IF(AND(C3="Y",D3="Y"),0,B3*12)</f>
        <v/>
      </c>
    </row>
    <row r="4">
      <c r="A4" t="inlineStr">
        <is>
          <t>Cascadia Freight Ops</t>
        </is>
      </c>
      <c r="B4" s="2" t="n">
        <v>360000</v>
      </c>
      <c r="C4" t="inlineStr">
        <is>
          <t>Y</t>
        </is>
      </c>
      <c r="D4" t="inlineStr">
        <is>
          <t>Y</t>
        </is>
      </c>
      <c r="E4" s="2">
        <f>IF(C4="Y",B4*12,B4*12)</f>
        <v/>
      </c>
      <c r="F4" s="2">
        <f>IF(AND(C4="Y",D4="Y"),0,B4*12)</f>
        <v/>
      </c>
    </row>
    <row r="5">
      <c r="D5" t="inlineStr">
        <is>
          <t>TOTAL</t>
        </is>
      </c>
      <c r="E5" s="2">
        <f>SUM(E2:E5)</f>
        <v/>
      </c>
      <c r="F5" s="2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2026-02-06T00:51:17Z</dcterms:created>
  <dcterms:modified xmlns:dcterms="http://purl.org/dc/terms/" xmlns:xsi="http://www.w3.org/2001/XMLSchema-instance" xsi:type="dcterms:W3CDTF">2026-02-06T00:51:17Z</dcterms:modified>
</cp:coreProperties>
</file>