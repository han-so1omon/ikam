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2" t="inlineStr">
        <is>
          <t>Month</t>
        </is>
      </c>
      <c r="B1" s="2" t="inlineStr">
        <is>
          <t>In-store</t>
        </is>
      </c>
      <c r="C1" s="2" t="inlineStr">
        <is>
          <t>Online</t>
        </is>
      </c>
      <c r="D1" s="2" t="inlineStr">
        <is>
          <t>Subscriptions</t>
        </is>
      </c>
      <c r="E1" s="2" t="inlineStr">
        <is>
          <t>Corporate</t>
        </is>
      </c>
      <c r="F1" s="2" t="inlineStr">
        <is>
          <t>Total</t>
        </is>
      </c>
      <c r="G1" s="2" t="inlineStr">
        <is>
          <t>Assumed GM%</t>
        </is>
      </c>
      <c r="H1" s="2" t="inlineStr">
        <is>
          <t>Notes</t>
        </is>
      </c>
      <c r="I1" s="2" t="inlineStr">
        <is>
          <t>COGS (est)</t>
        </is>
      </c>
      <c r="J1" s="2" t="inlineStr">
        <is>
          <t>Gross Profit (est)</t>
        </is>
      </c>
      <c r="K1" s="2" t="inlineStr">
        <is>
          <t>Marketing Spend (est)</t>
        </is>
      </c>
      <c r="L1" s="2" t="inlineStr">
        <is>
          <t>Operating Profit (est)</t>
        </is>
      </c>
    </row>
    <row r="2">
      <c r="A2" t="inlineStr">
        <is>
          <t>2026-01</t>
        </is>
      </c>
      <c r="B2" s="3" t="n">
        <v>62000</v>
      </c>
      <c r="C2" s="3" t="n">
        <v>11000</v>
      </c>
      <c r="D2" s="3" t="n">
        <v>8000</v>
      </c>
      <c r="E2" s="3" t="n">
        <v>6000</v>
      </c>
      <c r="F2" s="3">
        <f>B2+C2+D2+E2</f>
        <v/>
      </c>
      <c r="G2" s="4" t="n">
        <v>0.48</v>
      </c>
      <c r="H2" t="inlineStr">
        <is>
          <t>Post-holiday lull; new marketing contractor trial</t>
        </is>
      </c>
      <c r="I2" s="3">
        <f>F2*(1-G2)</f>
        <v/>
      </c>
      <c r="J2" s="3">
        <f>F2-I2</f>
        <v/>
      </c>
      <c r="K2" s="3">
        <f>IF(OR(RIGHT(A2,2)="10",RIGHT(A2,2)="11",RIGHT(A2,2)="12"),F2*0.04,F2*0.025)</f>
        <v/>
      </c>
      <c r="L2" s="3">
        <f>J2-K2-IF(OR(RIGHT(A2,2)="11",RIGHT(A2,2)="12"),55000,38000)</f>
        <v/>
      </c>
    </row>
    <row r="3">
      <c r="A3" t="inlineStr">
        <is>
          <t>2026-02</t>
        </is>
      </c>
      <c r="B3" s="3" t="n">
        <v>58000</v>
      </c>
      <c r="C3" s="3" t="n">
        <v>9000</v>
      </c>
      <c r="D3" s="3" t="n">
        <v>9000</v>
      </c>
      <c r="E3" s="3" t="n">
        <v>6500</v>
      </c>
      <c r="F3" s="3">
        <f>B3+C3+D3+E3</f>
        <v/>
      </c>
      <c r="G3" s="4" t="n">
        <v>0.48</v>
      </c>
      <c r="H3" t="inlineStr">
        <is>
          <t>Shipping footprint reduced mid-month</t>
        </is>
      </c>
      <c r="I3" s="3">
        <f>F3*(1-G3)</f>
        <v/>
      </c>
      <c r="J3" s="3">
        <f>F3-I3</f>
        <v/>
      </c>
      <c r="K3" s="3">
        <f>IF(OR(RIGHT(A3,2)="10",RIGHT(A3,2)="11",RIGHT(A3,2)="12"),F3*0.04,F3*0.025)</f>
        <v/>
      </c>
      <c r="L3" s="3">
        <f>J3-K3-IF(OR(RIGHT(A3,2)="11",RIGHT(A3,2)="12"),55000,38000)</f>
        <v/>
      </c>
    </row>
    <row r="4">
      <c r="A4" t="inlineStr">
        <is>
          <t>2026-03</t>
        </is>
      </c>
      <c r="B4" s="3" t="n">
        <v>65000</v>
      </c>
      <c r="C4" s="3" t="n">
        <v>9500</v>
      </c>
      <c r="D4" s="3" t="n">
        <v>10500</v>
      </c>
      <c r="E4" s="3" t="n">
        <v>8000</v>
      </c>
      <c r="F4" s="3">
        <f>B4+C4+D4+E4</f>
        <v/>
      </c>
      <c r="G4" s="4" t="n">
        <v>0.48</v>
      </c>
      <c r="H4" t="inlineStr">
        <is>
          <t>Spring refresh; vendor onboarding</t>
        </is>
      </c>
      <c r="I4" s="3">
        <f>F4*(1-G4)</f>
        <v/>
      </c>
      <c r="J4" s="3">
        <f>F4-I4</f>
        <v/>
      </c>
      <c r="K4" s="3">
        <f>IF(OR(RIGHT(A4,2)="10",RIGHT(A4,2)="11",RIGHT(A4,2)="12"),F4*0.04,F4*0.025)</f>
        <v/>
      </c>
      <c r="L4" s="3">
        <f>J4-K4-IF(OR(RIGHT(A4,2)="11",RIGHT(A4,2)="12"),55000,38000)</f>
        <v/>
      </c>
    </row>
    <row r="5">
      <c r="A5" t="inlineStr">
        <is>
          <t>2026-04</t>
        </is>
      </c>
      <c r="B5" s="3" t="n">
        <v>70000</v>
      </c>
      <c r="C5" s="3" t="n">
        <v>10000</v>
      </c>
      <c r="D5" s="3" t="n">
        <v>11500</v>
      </c>
      <c r="E5" s="3" t="n">
        <v>9000</v>
      </c>
      <c r="F5" s="3">
        <f>B5+C5+D5+E5</f>
        <v/>
      </c>
      <c r="G5" s="4" t="n">
        <v>0.48</v>
      </c>
      <c r="H5" t="inlineStr">
        <is>
          <t>Local corporate gifting push</t>
        </is>
      </c>
      <c r="I5" s="3">
        <f>F5*(1-G5)</f>
        <v/>
      </c>
      <c r="J5" s="3">
        <f>F5-I5</f>
        <v/>
      </c>
      <c r="K5" s="3">
        <f>IF(OR(RIGHT(A5,2)="10",RIGHT(A5,2)="11",RIGHT(A5,2)="12"),F5*0.04,F5*0.025)</f>
        <v/>
      </c>
      <c r="L5" s="3">
        <f>J5-K5-IF(OR(RIGHT(A5,2)="11",RIGHT(A5,2)="12"),55000,38000)</f>
        <v/>
      </c>
    </row>
    <row r="6">
      <c r="A6" t="inlineStr">
        <is>
          <t>2026-05</t>
        </is>
      </c>
      <c r="B6" s="3" t="n">
        <v>72000</v>
      </c>
      <c r="C6" s="3" t="n">
        <v>10500</v>
      </c>
      <c r="D6" s="3" t="n">
        <v>12000</v>
      </c>
      <c r="E6" s="3" t="n">
        <v>8500</v>
      </c>
      <c r="F6" s="3">
        <f>B6+C6+D6+E6</f>
        <v/>
      </c>
      <c r="G6" s="4" t="n">
        <v>0.48</v>
      </c>
      <c r="H6" t="inlineStr">
        <is>
          <t>Mother’s Day bundles</t>
        </is>
      </c>
      <c r="I6" s="3">
        <f>F6*(1-G6)</f>
        <v/>
      </c>
      <c r="J6" s="3">
        <f>F6-I6</f>
        <v/>
      </c>
      <c r="K6" s="3">
        <f>IF(OR(RIGHT(A6,2)="10",RIGHT(A6,2)="11",RIGHT(A6,2)="12"),F6*0.04,F6*0.025)</f>
        <v/>
      </c>
      <c r="L6" s="3">
        <f>J6-K6-IF(OR(RIGHT(A6,2)="11",RIGHT(A6,2)="12"),55000,38000)</f>
        <v/>
      </c>
    </row>
    <row r="7">
      <c r="A7" t="inlineStr">
        <is>
          <t>2026-06</t>
        </is>
      </c>
      <c r="B7" s="3" t="n">
        <v>76000</v>
      </c>
      <c r="C7" s="3" t="n">
        <v>11000</v>
      </c>
      <c r="D7" s="3" t="n">
        <v>12500</v>
      </c>
      <c r="E7" s="3" t="n">
        <v>9500</v>
      </c>
      <c r="F7" s="3">
        <f>B7+C7+D7+E7</f>
        <v/>
      </c>
      <c r="G7" s="4" t="n">
        <v>0.48</v>
      </c>
      <c r="H7" t="inlineStr">
        <is>
          <t>Summer traffic</t>
        </is>
      </c>
      <c r="I7" s="3">
        <f>F7*(1-G7)</f>
        <v/>
      </c>
      <c r="J7" s="3">
        <f>F7-I7</f>
        <v/>
      </c>
      <c r="K7" s="3">
        <f>IF(OR(RIGHT(A7,2)="10",RIGHT(A7,2)="11",RIGHT(A7,2)="12"),F7*0.04,F7*0.025)</f>
        <v/>
      </c>
      <c r="L7" s="3">
        <f>J7-K7-IF(OR(RIGHT(A7,2)="11",RIGHT(A7,2)="12"),55000,38000)</f>
        <v/>
      </c>
    </row>
    <row r="8">
      <c r="A8" t="inlineStr">
        <is>
          <t>2026-07</t>
        </is>
      </c>
      <c r="B8" s="3" t="n">
        <v>74000</v>
      </c>
      <c r="C8" s="3" t="n">
        <v>12000</v>
      </c>
      <c r="D8" s="3" t="n">
        <v>13000</v>
      </c>
      <c r="E8" s="3" t="n">
        <v>10000</v>
      </c>
      <c r="F8" s="3">
        <f>B8+C8+D8+E8</f>
        <v/>
      </c>
      <c r="G8" s="4" t="n">
        <v>0.48</v>
      </c>
      <c r="H8" t="inlineStr">
        <is>
          <t>Subscription refresh rollout</t>
        </is>
      </c>
      <c r="I8" s="3">
        <f>F8*(1-G8)</f>
        <v/>
      </c>
      <c r="J8" s="3">
        <f>F8-I8</f>
        <v/>
      </c>
      <c r="K8" s="3">
        <f>IF(OR(RIGHT(A8,2)="10",RIGHT(A8,2)="11",RIGHT(A8,2)="12"),F8*0.04,F8*0.025)</f>
        <v/>
      </c>
      <c r="L8" s="3">
        <f>J8-K8-IF(OR(RIGHT(A8,2)="11",RIGHT(A8,2)="12"),55000,38000)</f>
        <v/>
      </c>
    </row>
    <row r="9">
      <c r="A9" t="inlineStr">
        <is>
          <t>2026-08</t>
        </is>
      </c>
      <c r="B9" s="3" t="n">
        <v>78000</v>
      </c>
      <c r="C9" s="3" t="n">
        <v>12500</v>
      </c>
      <c r="D9" s="3" t="n">
        <v>13500</v>
      </c>
      <c r="E9" s="3" t="n">
        <v>11000</v>
      </c>
      <c r="F9" s="3">
        <f>B9+C9+D9+E9</f>
        <v/>
      </c>
      <c r="G9" s="4" t="n">
        <v>0.48</v>
      </c>
      <c r="H9" t="inlineStr">
        <is>
          <t>Back-to-school gifting</t>
        </is>
      </c>
      <c r="I9" s="3">
        <f>F9*(1-G9)</f>
        <v/>
      </c>
      <c r="J9" s="3">
        <f>F9-I9</f>
        <v/>
      </c>
      <c r="K9" s="3">
        <f>IF(OR(RIGHT(A9,2)="10",RIGHT(A9,2)="11",RIGHT(A9,2)="12"),F9*0.04,F9*0.025)</f>
        <v/>
      </c>
      <c r="L9" s="3">
        <f>J9-K9-IF(OR(RIGHT(A9,2)="11",RIGHT(A9,2)="12"),55000,38000)</f>
        <v/>
      </c>
    </row>
    <row r="10">
      <c r="A10" t="inlineStr">
        <is>
          <t>2026-09</t>
        </is>
      </c>
      <c r="B10" s="3" t="n">
        <v>80000</v>
      </c>
      <c r="C10" s="3" t="n">
        <v>13000</v>
      </c>
      <c r="D10" s="3" t="n">
        <v>14000</v>
      </c>
      <c r="E10" s="3" t="n">
        <v>12000</v>
      </c>
      <c r="F10" s="3">
        <f>B10+C10+D10+E10</f>
        <v/>
      </c>
      <c r="G10" s="4" t="n">
        <v>0.48</v>
      </c>
      <c r="H10" t="inlineStr">
        <is>
          <t>Prep for holiday ramp</t>
        </is>
      </c>
      <c r="I10" s="3">
        <f>F10*(1-G10)</f>
        <v/>
      </c>
      <c r="J10" s="3">
        <f>F10-I10</f>
        <v/>
      </c>
      <c r="K10" s="3">
        <f>IF(OR(RIGHT(A10,2)="10",RIGHT(A10,2)="11",RIGHT(A10,2)="12"),F10*0.04,F10*0.025)</f>
        <v/>
      </c>
      <c r="L10" s="3">
        <f>J10-K10-IF(OR(RIGHT(A10,2)="11",RIGHT(A10,2)="12"),55000,38000)</f>
        <v/>
      </c>
    </row>
    <row r="11">
      <c r="A11" t="inlineStr">
        <is>
          <t>2026-10</t>
        </is>
      </c>
      <c r="B11" s="3" t="n">
        <v>90000</v>
      </c>
      <c r="C11" s="3" t="n">
        <v>15000</v>
      </c>
      <c r="D11" s="3" t="n">
        <v>15000</v>
      </c>
      <c r="E11" s="3" t="n">
        <v>16000</v>
      </c>
      <c r="F11" s="3">
        <f>B11+C11+D11+E11</f>
        <v/>
      </c>
      <c r="G11" s="4" t="n">
        <v>0.48</v>
      </c>
      <c r="H11" t="inlineStr">
        <is>
          <t>Holiday pre-orders</t>
        </is>
      </c>
      <c r="I11" s="3">
        <f>F11*(1-G11)</f>
        <v/>
      </c>
      <c r="J11" s="3">
        <f>F11-I11</f>
        <v/>
      </c>
      <c r="K11" s="3">
        <f>IF(OR(RIGHT(A11,2)="10",RIGHT(A11,2)="11",RIGHT(A11,2)="12"),F11*0.04,F11*0.025)</f>
        <v/>
      </c>
      <c r="L11" s="3">
        <f>J11-K11-IF(OR(RIGHT(A11,2)="11",RIGHT(A11,2)="12"),55000,38000)</f>
        <v/>
      </c>
    </row>
    <row r="12">
      <c r="A12" t="inlineStr">
        <is>
          <t>2026-11</t>
        </is>
      </c>
      <c r="B12" s="3" t="n">
        <v>120000</v>
      </c>
      <c r="C12" s="3" t="n">
        <v>18000</v>
      </c>
      <c r="D12" s="3" t="n">
        <v>17000</v>
      </c>
      <c r="E12" s="3" t="n">
        <v>28000</v>
      </c>
      <c r="F12" s="3">
        <f>B12+C12+D12+E12</f>
        <v/>
      </c>
      <c r="G12" s="4" t="n">
        <v>0.48</v>
      </c>
      <c r="H12" t="inlineStr">
        <is>
          <t>Holiday staffing required</t>
        </is>
      </c>
      <c r="I12" s="3">
        <f>F12*(1-G12)</f>
        <v/>
      </c>
      <c r="J12" s="3">
        <f>F12-I12</f>
        <v/>
      </c>
      <c r="K12" s="3">
        <f>IF(OR(RIGHT(A12,2)="10",RIGHT(A12,2)="11",RIGHT(A12,2)="12"),F12*0.04,F12*0.025)</f>
        <v/>
      </c>
      <c r="L12" s="3">
        <f>J12-K12-IF(OR(RIGHT(A12,2)="11",RIGHT(A12,2)="12"),55000,38000)</f>
        <v/>
      </c>
    </row>
    <row r="13">
      <c r="A13" t="inlineStr">
        <is>
          <t>2026-12</t>
        </is>
      </c>
      <c r="B13" s="3" t="n">
        <v>170000</v>
      </c>
      <c r="C13" s="3" t="n">
        <v>22000</v>
      </c>
      <c r="D13" s="3" t="n">
        <v>18000</v>
      </c>
      <c r="E13" s="3" t="n">
        <v>45000</v>
      </c>
      <c r="F13" s="3">
        <f>B13+C13+D13+E13</f>
        <v/>
      </c>
      <c r="G13" s="4" t="n">
        <v>0.48</v>
      </c>
      <c r="H13" t="inlineStr">
        <is>
          <t>Peak season</t>
        </is>
      </c>
      <c r="I13" s="3">
        <f>F13*(1-G13)</f>
        <v/>
      </c>
      <c r="J13" s="3">
        <f>F13-I13</f>
        <v/>
      </c>
      <c r="K13" s="3">
        <f>IF(OR(RIGHT(A13,2)="10",RIGHT(A13,2)="11",RIGHT(A13,2)="12"),F13*0.04,F13*0.025)</f>
        <v/>
      </c>
      <c r="L13" s="3">
        <f>J13-K13-IF(OR(RIGHT(A13,2)="11",RIGHT(A13,2)="12"),55000,38000)</f>
        <v/>
      </c>
    </row>
    <row r="15">
      <c r="A15" t="inlineStr">
        <is>
          <t>Year totals</t>
        </is>
      </c>
      <c r="F15" s="3">
        <f>SUM(F2:F15)</f>
        <v/>
      </c>
      <c r="J15" s="3">
        <f>SUM(J2:J15)</f>
        <v/>
      </c>
      <c r="L15" s="3">
        <f>SUM(L2:L15)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2026-02-05T21:26:04Z</dcterms:created>
  <dcterms:modified xmlns:dcterms="http://purl.org/dc/terms/" xmlns:xsi="http://www.w3.org/2001/XMLSchema-instance" xsi:type="dcterms:W3CDTF">2026-02-05T21:34:06Z</dcterms:modified>
</cp:coreProperties>
</file>