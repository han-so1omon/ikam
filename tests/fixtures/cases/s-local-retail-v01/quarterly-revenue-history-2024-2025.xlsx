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4" customWidth="1" min="4" max="4"/>
    <col width="48" customWidth="1" min="5" max="5"/>
    <col width="18" customWidth="1" min="6" max="6"/>
    <col width="18" customWidth="1" min="7" max="7"/>
    <col width="16" customWidth="1" min="8" max="8"/>
  </cols>
  <sheetData>
    <row r="1">
      <c r="A1" s="2" t="inlineStr">
        <is>
          <t>Year</t>
        </is>
      </c>
      <c r="B1" s="2" t="inlineStr">
        <is>
          <t>Quarter</t>
        </is>
      </c>
      <c r="C1" s="2" t="inlineStr">
        <is>
          <t>Revenue (Bookkeeping)</t>
        </is>
      </c>
      <c r="D1" s="2" t="inlineStr">
        <is>
          <t>Revenue (POS)</t>
        </is>
      </c>
      <c r="E1" s="2" t="inlineStr">
        <is>
          <t>Notes</t>
        </is>
      </c>
      <c r="F1" s="2" t="inlineStr">
        <is>
          <t>Variance (POS - Book)</t>
        </is>
      </c>
      <c r="G1" s="2" t="inlineStr">
        <is>
          <t>Variance % (vs Book)</t>
        </is>
      </c>
      <c r="H1" s="2" t="inlineStr">
        <is>
          <t>YoY Growth (Book)</t>
        </is>
      </c>
    </row>
    <row r="2">
      <c r="A2" t="n">
        <v>2024</v>
      </c>
      <c r="B2" t="inlineStr">
        <is>
          <t>Q2</t>
        </is>
      </c>
      <c r="C2" s="3" t="n">
        <v>62000</v>
      </c>
      <c r="D2" s="3" t="n">
        <v>64000</v>
      </c>
      <c r="E2" t="inlineStr">
        <is>
          <t>Soft launch mid-quarter</t>
        </is>
      </c>
      <c r="F2" s="3">
        <f>D2-C2</f>
        <v/>
      </c>
      <c r="G2" s="4">
        <f>IF(C2=0,0,(D2-C2)/C2)</f>
        <v/>
      </c>
      <c r="H2" s="4" t="inlineStr"/>
    </row>
    <row r="3">
      <c r="A3" t="n">
        <v>2024</v>
      </c>
      <c r="B3" t="inlineStr">
        <is>
          <t>Q3</t>
        </is>
      </c>
      <c r="C3" s="3" t="n">
        <v>88000</v>
      </c>
      <c r="D3" s="3" t="n">
        <v>90500</v>
      </c>
      <c r="E3" t="inlineStr">
        <is>
          <t>Back-to-school gifting</t>
        </is>
      </c>
      <c r="F3" s="3">
        <f>D3-C3</f>
        <v/>
      </c>
      <c r="G3" s="4">
        <f>IF(C3=0,0,(D3-C3)/C3)</f>
        <v/>
      </c>
      <c r="H3" s="4" t="inlineStr"/>
    </row>
    <row r="4">
      <c r="A4" t="n">
        <v>2024</v>
      </c>
      <c r="B4" t="inlineStr">
        <is>
          <t>Q4</t>
        </is>
      </c>
      <c r="C4" s="3" t="n">
        <v>155000</v>
      </c>
      <c r="D4" s="3" t="n">
        <v>160200</v>
      </c>
      <c r="E4" t="inlineStr">
        <is>
          <t>First big holiday season</t>
        </is>
      </c>
      <c r="F4" s="3">
        <f>D4-C4</f>
        <v/>
      </c>
      <c r="G4" s="4">
        <f>IF(C4=0,0,(D4-C4)/C4)</f>
        <v/>
      </c>
      <c r="H4" s="4" t="inlineStr"/>
    </row>
    <row r="5">
      <c r="A5" t="n">
        <v>2025</v>
      </c>
      <c r="B5" t="inlineStr">
        <is>
          <t>Q1</t>
        </is>
      </c>
      <c r="C5" s="3" t="n">
        <v>93000</v>
      </c>
      <c r="D5" s="3" t="n">
        <v>95050</v>
      </c>
      <c r="E5" t="inlineStr">
        <is>
          <t>Rainy season foot traffic dip</t>
        </is>
      </c>
      <c r="F5" s="3">
        <f>D5-C5</f>
        <v/>
      </c>
      <c r="G5" s="4">
        <f>IF(C5=0,0,(D5-C5)/C5)</f>
        <v/>
      </c>
      <c r="H5" s="4" t="inlineStr"/>
    </row>
    <row r="6">
      <c r="A6" t="n">
        <v>2025</v>
      </c>
      <c r="B6" t="inlineStr">
        <is>
          <t>Q2</t>
        </is>
      </c>
      <c r="C6" s="3" t="n">
        <v>112000</v>
      </c>
      <c r="D6" s="3" t="n">
        <v>116300</v>
      </c>
      <c r="E6" t="inlineStr">
        <is>
          <t>Local delivery pilot (limited)</t>
        </is>
      </c>
      <c r="F6" s="3">
        <f>D6-C6</f>
        <v/>
      </c>
      <c r="G6" s="4">
        <f>IF(C6=0,0,(D6-C6)/C6)</f>
        <v/>
      </c>
      <c r="H6" s="4">
        <f>IF(C2=0,,({book}-{prev_book})/{prev_book})</f>
        <v/>
      </c>
    </row>
    <row r="7">
      <c r="A7" t="n">
        <v>2025</v>
      </c>
      <c r="B7" t="inlineStr">
        <is>
          <t>Q3</t>
        </is>
      </c>
      <c r="C7" s="3" t="n">
        <v>141000</v>
      </c>
      <c r="D7" s="3" t="n">
        <v>146900</v>
      </c>
      <c r="E7" t="inlineStr">
        <is>
          <t>Subscription launch late quarter</t>
        </is>
      </c>
      <c r="F7" s="3">
        <f>D7-C7</f>
        <v/>
      </c>
      <c r="G7" s="4">
        <f>IF(C7=0,0,(D7-C7)/C7)</f>
        <v/>
      </c>
      <c r="H7" s="4">
        <f>IF(C3=0,,({book}-{prev_book})/{prev_book})</f>
        <v/>
      </c>
    </row>
    <row r="8">
      <c r="A8" t="n">
        <v>2025</v>
      </c>
      <c r="B8" t="inlineStr">
        <is>
          <t>Q4</t>
        </is>
      </c>
      <c r="C8" s="3" t="n">
        <v>286000</v>
      </c>
      <c r="D8" s="3" t="n">
        <v>295000</v>
      </c>
      <c r="E8" t="inlineStr">
        <is>
          <t>POS total excludes a week of manual returns</t>
        </is>
      </c>
      <c r="F8" s="3">
        <f>D8-C8</f>
        <v/>
      </c>
      <c r="G8" s="4">
        <f>IF(C8=0,0,(D8-C8)/C8)</f>
        <v/>
      </c>
      <c r="H8" s="4">
        <f>IF(C4=0,,({book}-{prev_book})/{prev_book})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2026-02-05T21:26:04Z</dcterms:created>
  <dcterms:modified xmlns:dcterms="http://purl.org/dc/terms/" xmlns:xsi="http://www.w3.org/2001/XMLSchema-instance" xsi:type="dcterms:W3CDTF">2026-02-05T21:34:06Z</dcterms:modified>
</cp:coreProperties>
</file>